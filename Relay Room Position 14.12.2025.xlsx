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dat\Desktop\"/>
    </mc:Choice>
  </mc:AlternateContent>
  <xr:revisionPtr revIDLastSave="0" documentId="13_ncr:1_{A5CAB8BB-5B13-49D3-A9E3-74B3E85C063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Sheet1!$A$2:$N$20</definedName>
    <definedName name="_xlnm._FilterDatabase" localSheetId="1" hidden="1">Sheet2!$A$2:$M$19</definedName>
    <definedName name="_xlnm.Print_Area" localSheetId="0">Sheet1!#REF!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1" l="1"/>
  <c r="G20" i="1" s="1"/>
  <c r="F19" i="1"/>
  <c r="G19" i="1" s="1"/>
  <c r="F18" i="1"/>
  <c r="G18" i="1" s="1"/>
  <c r="F17" i="1"/>
  <c r="G17" i="1" s="1"/>
  <c r="F16" i="1"/>
  <c r="G16" i="1" s="1"/>
  <c r="F15" i="1"/>
  <c r="G15" i="1" s="1"/>
  <c r="F14" i="1"/>
  <c r="G14" i="1" s="1"/>
  <c r="F13" i="1"/>
  <c r="G13" i="1" s="1"/>
  <c r="F12" i="1"/>
  <c r="G12" i="1" s="1"/>
  <c r="F11" i="1"/>
  <c r="G11" i="1" s="1"/>
  <c r="F10" i="1"/>
  <c r="G10" i="1" s="1"/>
  <c r="F9" i="1"/>
  <c r="G9" i="1" s="1"/>
  <c r="F8" i="1"/>
  <c r="G8" i="1" s="1"/>
  <c r="F7" i="1"/>
  <c r="G7" i="1" s="1"/>
  <c r="F6" i="1"/>
  <c r="G6" i="1" s="1"/>
  <c r="F5" i="1"/>
  <c r="G5" i="1" s="1"/>
  <c r="F4" i="1"/>
  <c r="G4" i="1" s="1"/>
  <c r="F3" i="1"/>
  <c r="G3" i="1" s="1"/>
  <c r="F4" i="2" l="1"/>
  <c r="G4" i="2" s="1"/>
  <c r="F5" i="2"/>
  <c r="G5" i="2" s="1"/>
  <c r="F6" i="2"/>
  <c r="G6" i="2" s="1"/>
  <c r="F7" i="2"/>
  <c r="G7" i="2" s="1"/>
  <c r="F8" i="2"/>
  <c r="G8" i="2" s="1"/>
  <c r="F9" i="2"/>
  <c r="G9" i="2" s="1"/>
  <c r="F10" i="2"/>
  <c r="G10" i="2" s="1"/>
  <c r="F11" i="2"/>
  <c r="G11" i="2" s="1"/>
  <c r="F12" i="2"/>
  <c r="G12" i="2" s="1"/>
  <c r="F13" i="2"/>
  <c r="G13" i="2" s="1"/>
  <c r="F14" i="2"/>
  <c r="G14" i="2" s="1"/>
  <c r="F15" i="2"/>
  <c r="G15" i="2" s="1"/>
  <c r="F16" i="2"/>
  <c r="G16" i="2" s="1"/>
  <c r="F19" i="2"/>
  <c r="G19" i="2" s="1"/>
  <c r="F18" i="2"/>
  <c r="G18" i="2" s="1"/>
  <c r="F17" i="2"/>
  <c r="G17" i="2" s="1"/>
  <c r="F3" i="2"/>
  <c r="G3" i="2" s="1"/>
</calcChain>
</file>

<file path=xl/sharedStrings.xml><?xml version="1.0" encoding="utf-8"?>
<sst xmlns="http://schemas.openxmlformats.org/spreadsheetml/2006/main" count="275" uniqueCount="149">
  <si>
    <t>Sr No</t>
  </si>
  <si>
    <t>Date</t>
  </si>
  <si>
    <t>Station</t>
  </si>
  <si>
    <t>Opening  time</t>
  </si>
  <si>
    <t>Closing time</t>
  </si>
  <si>
    <t>Duration in Hours</t>
  </si>
  <si>
    <t>Duration in Minutes</t>
  </si>
  <si>
    <t>Reason for opening</t>
  </si>
  <si>
    <t>CSI</t>
  </si>
  <si>
    <t>Sr.No. For open</t>
  </si>
  <si>
    <t>Sr. No. For Close</t>
  </si>
  <si>
    <t>As per D/L Opening  time</t>
  </si>
  <si>
    <t>As per D/L Closing time</t>
  </si>
  <si>
    <t>SBI</t>
  </si>
  <si>
    <t>MALB</t>
  </si>
  <si>
    <t>SIOB</t>
  </si>
  <si>
    <t>ADI</t>
  </si>
  <si>
    <t>PNU</t>
  </si>
  <si>
    <t>DHG</t>
  </si>
  <si>
    <t>GIM</t>
  </si>
  <si>
    <t>11:40</t>
  </si>
  <si>
    <t>17:30</t>
  </si>
  <si>
    <t>14:45</t>
  </si>
  <si>
    <t>RDHP</t>
  </si>
  <si>
    <t>DKW</t>
  </si>
  <si>
    <t>10:10</t>
  </si>
  <si>
    <t>KKEC</t>
  </si>
  <si>
    <t>BR-MSH</t>
  </si>
  <si>
    <t>13:35</t>
  </si>
  <si>
    <t>RUT</t>
  </si>
  <si>
    <t>26/10/2024</t>
  </si>
  <si>
    <t>15:05</t>
  </si>
  <si>
    <t>SNSN</t>
  </si>
  <si>
    <t>15:15</t>
  </si>
  <si>
    <t>12:50</t>
  </si>
  <si>
    <t>15:25</t>
  </si>
  <si>
    <t xml:space="preserve">PLE </t>
  </si>
  <si>
    <t>10:15</t>
  </si>
  <si>
    <t>13:50</t>
  </si>
  <si>
    <t>10:20</t>
  </si>
  <si>
    <t>GIMA</t>
  </si>
  <si>
    <t>10:45</t>
  </si>
  <si>
    <t>VONB</t>
  </si>
  <si>
    <t>AAR</t>
  </si>
  <si>
    <t>13:00</t>
  </si>
  <si>
    <t>For signal ECR fuse rating checking</t>
  </si>
  <si>
    <t>LCH</t>
  </si>
  <si>
    <t>15:55</t>
  </si>
  <si>
    <t>SID</t>
  </si>
  <si>
    <t>14:40</t>
  </si>
  <si>
    <t>N-MSH</t>
  </si>
  <si>
    <t>16:20</t>
  </si>
  <si>
    <t>17:25</t>
  </si>
  <si>
    <t>DHNL</t>
  </si>
  <si>
    <t>16:35</t>
  </si>
  <si>
    <t>16:10</t>
  </si>
  <si>
    <t>LW</t>
  </si>
  <si>
    <t>15:45</t>
  </si>
  <si>
    <t>16:50</t>
  </si>
  <si>
    <t>17:40</t>
  </si>
  <si>
    <t>BCOB</t>
  </si>
  <si>
    <t>17:05</t>
  </si>
  <si>
    <t>CLDYA</t>
  </si>
  <si>
    <t>17:15</t>
  </si>
  <si>
    <t>17:45</t>
  </si>
  <si>
    <t>18:35</t>
  </si>
  <si>
    <t>Relay room opening position on dt. 26/10/2024</t>
  </si>
  <si>
    <t>CODES for reasons</t>
  </si>
  <si>
    <t>ANALYSIS</t>
  </si>
  <si>
    <t>WORK/OL</t>
  </si>
  <si>
    <t>For S&amp;T Construction staff working</t>
  </si>
  <si>
    <t>WORK/CON</t>
  </si>
  <si>
    <t>MISC</t>
  </si>
  <si>
    <t>KLL</t>
  </si>
  <si>
    <t>REG/MNT</t>
  </si>
  <si>
    <t>GGM</t>
  </si>
  <si>
    <t>For schedule maintenance work</t>
  </si>
  <si>
    <t>10</t>
  </si>
  <si>
    <t>11</t>
  </si>
  <si>
    <t>12</t>
  </si>
  <si>
    <t>13</t>
  </si>
  <si>
    <t>14</t>
  </si>
  <si>
    <t>15</t>
  </si>
  <si>
    <t>AMC/EI</t>
  </si>
  <si>
    <t>16</t>
  </si>
  <si>
    <t>17</t>
  </si>
  <si>
    <t>18</t>
  </si>
  <si>
    <t>JKA</t>
  </si>
  <si>
    <t>1</t>
  </si>
  <si>
    <t>2</t>
  </si>
  <si>
    <t>3</t>
  </si>
  <si>
    <t>4</t>
  </si>
  <si>
    <t>5</t>
  </si>
  <si>
    <t>GIMC</t>
  </si>
  <si>
    <t>6</t>
  </si>
  <si>
    <t>7</t>
  </si>
  <si>
    <t>8</t>
  </si>
  <si>
    <t>9</t>
  </si>
  <si>
    <t>For Auto signalling work</t>
  </si>
  <si>
    <t>13:45</t>
  </si>
  <si>
    <t>14:15</t>
  </si>
  <si>
    <t>10:40</t>
  </si>
  <si>
    <t>11:45</t>
  </si>
  <si>
    <t>VDG</t>
  </si>
  <si>
    <t>14/12/2025</t>
  </si>
  <si>
    <t>08:50</t>
  </si>
  <si>
    <t>For new earthing provided work</t>
  </si>
  <si>
    <t>CE LC-32</t>
  </si>
  <si>
    <t>09:35</t>
  </si>
  <si>
    <t>13:25</t>
  </si>
  <si>
    <t>DKW HUTB</t>
  </si>
  <si>
    <t>09:55</t>
  </si>
  <si>
    <t>12:55</t>
  </si>
  <si>
    <t>10:05</t>
  </si>
  <si>
    <t>15:10</t>
  </si>
  <si>
    <t>MITA</t>
  </si>
  <si>
    <t>15:00</t>
  </si>
  <si>
    <t>Fire alarm AMC &amp; EI AMC work</t>
  </si>
  <si>
    <t>AMC/AFDAC,AMC/EI</t>
  </si>
  <si>
    <t>DVY LC-79</t>
  </si>
  <si>
    <t>10:50</t>
  </si>
  <si>
    <t>12:15</t>
  </si>
  <si>
    <t>For EI inbuild block pre work</t>
  </si>
  <si>
    <t>COE HUTB</t>
  </si>
  <si>
    <t>11:50</t>
  </si>
  <si>
    <t>15:40</t>
  </si>
  <si>
    <t>For LC-178 road signal supply checking work</t>
  </si>
  <si>
    <t>12:30</t>
  </si>
  <si>
    <t>For new earthing work</t>
  </si>
  <si>
    <t>SBTA</t>
  </si>
  <si>
    <t>For slot no.301 failure investigation work</t>
  </si>
  <si>
    <t>FAIL/ANALYSIS</t>
  </si>
  <si>
    <t xml:space="preserve">SAU </t>
  </si>
  <si>
    <t>17:35</t>
  </si>
  <si>
    <t>For Pt.no.145/146 power supply checking work</t>
  </si>
  <si>
    <t>COE</t>
  </si>
  <si>
    <t>14:05</t>
  </si>
  <si>
    <t>16:30</t>
  </si>
  <si>
    <t>For LC-178 road signal supply checking &amp; COE/KYG singal cpu attending work</t>
  </si>
  <si>
    <t>For EI amc work</t>
  </si>
  <si>
    <t>UMN</t>
  </si>
  <si>
    <t>For SI Inspection &amp; fire alarm amc work</t>
  </si>
  <si>
    <t>INSP/SSE &amp; AMC/AFDAC</t>
  </si>
  <si>
    <t>ADI NGF</t>
  </si>
  <si>
    <t>16:40</t>
  </si>
  <si>
    <t>For slot no.301 circuit checking work</t>
  </si>
  <si>
    <t>CDS HUT2</t>
  </si>
  <si>
    <t>19:40</t>
  </si>
  <si>
    <t>Relay room opening position on dt:-14/12/2025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</si>
</sst>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6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0"/>
      <name val="Arial"/>
      <family val="2"/>
    </font>
    <font>
      <sz val="10"/>
      <color rgb="FF2F2F2F"/>
      <name val="Segoe U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3">
    <xf numFmtId="0" fontId="0" fillId="0" borderId="0" xfId="0"/>
    <xf numFmtId="49" fontId="2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49" fontId="4" fillId="0" borderId="1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1" xfId="0" applyBorder="1"/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169E4847-0777-40EF-8DC9-D1442756B64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zoomScale="145" zoomScaleNormal="145" workbookViewId="0">
      <selection sqref="A1:N1"/>
    </sheetView>
  </sheetViews>
  <sheetFormatPr defaultRowHeight="15" x14ac:dyDescent="0.25"/>
  <cols>
    <col min="1" max="1" width="6" style="10" bestFit="1" customWidth="1"/>
    <col min="2" max="2" width="11.7109375" style="10" customWidth="1"/>
    <col min="3" max="3" width="16.85546875" style="10" customWidth="1"/>
    <col min="4" max="4" width="9.85546875" style="10" bestFit="1" customWidth="1"/>
    <col min="5" max="5" width="8.140625" style="10" bestFit="1" customWidth="1"/>
    <col min="6" max="6" width="11.7109375" style="10" customWidth="1"/>
    <col min="7" max="7" width="9.140625" style="10" customWidth="1"/>
    <col min="8" max="8" width="56.85546875" style="10" bestFit="1" customWidth="1"/>
    <col min="9" max="9" width="12.85546875" style="10" customWidth="1"/>
    <col min="10" max="10" width="9.140625" style="10" bestFit="1" customWidth="1"/>
    <col min="11" max="11" width="11.28515625" style="10" bestFit="1" customWidth="1"/>
    <col min="12" max="12" width="14" style="5" bestFit="1" customWidth="1"/>
    <col min="13" max="13" width="14.7109375" style="5" customWidth="1"/>
    <col min="14" max="14" width="23.5703125" style="10" customWidth="1"/>
    <col min="15" max="16384" width="9.140625" style="10"/>
  </cols>
  <sheetData>
    <row r="1" spans="1:14" ht="23.25" customHeight="1" x14ac:dyDescent="0.25">
      <c r="A1" s="16" t="s">
        <v>148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ht="38.2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67</v>
      </c>
    </row>
    <row r="3" spans="1:14" x14ac:dyDescent="0.25">
      <c r="A3" s="13" t="s">
        <v>88</v>
      </c>
      <c r="B3" s="11" t="s">
        <v>104</v>
      </c>
      <c r="C3" s="13" t="s">
        <v>87</v>
      </c>
      <c r="D3" s="13" t="s">
        <v>105</v>
      </c>
      <c r="E3" s="13" t="s">
        <v>22</v>
      </c>
      <c r="F3" s="3">
        <f t="shared" ref="F3:F20" si="0">E3-D3</f>
        <v>0.24652777777777779</v>
      </c>
      <c r="G3" s="6">
        <f t="shared" ref="G3:G20" si="1">HOUR(F3)*60+MINUTE(F3)</f>
        <v>355</v>
      </c>
      <c r="H3" s="15" t="s">
        <v>106</v>
      </c>
      <c r="I3" s="14" t="s">
        <v>13</v>
      </c>
      <c r="J3" s="14">
        <v>1</v>
      </c>
      <c r="K3" s="14">
        <v>19</v>
      </c>
      <c r="L3" s="20"/>
      <c r="M3" s="20"/>
      <c r="N3" s="8" t="s">
        <v>69</v>
      </c>
    </row>
    <row r="4" spans="1:14" x14ac:dyDescent="0.25">
      <c r="A4" s="13" t="s">
        <v>89</v>
      </c>
      <c r="B4" s="11" t="s">
        <v>104</v>
      </c>
      <c r="C4" s="13" t="s">
        <v>107</v>
      </c>
      <c r="D4" s="13" t="s">
        <v>108</v>
      </c>
      <c r="E4" s="13" t="s">
        <v>109</v>
      </c>
      <c r="F4" s="3">
        <f t="shared" si="0"/>
        <v>0.15972222222222221</v>
      </c>
      <c r="G4" s="6">
        <f t="shared" si="1"/>
        <v>230</v>
      </c>
      <c r="H4" s="15" t="s">
        <v>76</v>
      </c>
      <c r="I4" s="14" t="s">
        <v>13</v>
      </c>
      <c r="J4" s="14">
        <v>2</v>
      </c>
      <c r="K4" s="14">
        <v>14</v>
      </c>
      <c r="L4" s="20"/>
      <c r="M4" s="20"/>
      <c r="N4" s="8" t="s">
        <v>74</v>
      </c>
    </row>
    <row r="5" spans="1:14" x14ac:dyDescent="0.25">
      <c r="A5" s="13" t="s">
        <v>90</v>
      </c>
      <c r="B5" s="11" t="s">
        <v>104</v>
      </c>
      <c r="C5" s="13" t="s">
        <v>110</v>
      </c>
      <c r="D5" s="13" t="s">
        <v>111</v>
      </c>
      <c r="E5" s="13" t="s">
        <v>112</v>
      </c>
      <c r="F5" s="3">
        <f t="shared" si="0"/>
        <v>0.125</v>
      </c>
      <c r="G5" s="6">
        <f t="shared" si="1"/>
        <v>180</v>
      </c>
      <c r="H5" s="15" t="s">
        <v>76</v>
      </c>
      <c r="I5" s="14" t="s">
        <v>17</v>
      </c>
      <c r="J5" s="14">
        <v>3</v>
      </c>
      <c r="K5" s="14">
        <v>13</v>
      </c>
      <c r="L5" s="20"/>
      <c r="M5" s="20"/>
      <c r="N5" s="8" t="s">
        <v>74</v>
      </c>
    </row>
    <row r="6" spans="1:14" x14ac:dyDescent="0.25">
      <c r="A6" s="13" t="s">
        <v>91</v>
      </c>
      <c r="B6" s="11" t="s">
        <v>104</v>
      </c>
      <c r="C6" s="13" t="s">
        <v>93</v>
      </c>
      <c r="D6" s="13" t="s">
        <v>113</v>
      </c>
      <c r="E6" s="13" t="s">
        <v>114</v>
      </c>
      <c r="F6" s="3">
        <f t="shared" si="0"/>
        <v>0.21180555555555552</v>
      </c>
      <c r="G6" s="6">
        <f t="shared" si="1"/>
        <v>305</v>
      </c>
      <c r="H6" s="15" t="s">
        <v>70</v>
      </c>
      <c r="I6" s="14" t="s">
        <v>19</v>
      </c>
      <c r="J6" s="14">
        <v>4</v>
      </c>
      <c r="K6" s="14">
        <v>21</v>
      </c>
      <c r="L6" s="20"/>
      <c r="M6" s="20"/>
      <c r="N6" s="8" t="s">
        <v>71</v>
      </c>
    </row>
    <row r="7" spans="1:14" x14ac:dyDescent="0.25">
      <c r="A7" s="13" t="s">
        <v>92</v>
      </c>
      <c r="B7" s="11" t="s">
        <v>104</v>
      </c>
      <c r="C7" s="13" t="s">
        <v>115</v>
      </c>
      <c r="D7" s="13" t="s">
        <v>101</v>
      </c>
      <c r="E7" s="13" t="s">
        <v>116</v>
      </c>
      <c r="F7" s="3">
        <f t="shared" si="0"/>
        <v>0.18055555555555558</v>
      </c>
      <c r="G7" s="6">
        <f t="shared" si="1"/>
        <v>260</v>
      </c>
      <c r="H7" s="15" t="s">
        <v>117</v>
      </c>
      <c r="I7" s="14" t="s">
        <v>17</v>
      </c>
      <c r="J7" s="14">
        <v>5</v>
      </c>
      <c r="K7" s="14">
        <v>20</v>
      </c>
      <c r="L7" s="20"/>
      <c r="M7" s="20"/>
      <c r="N7" s="8" t="s">
        <v>118</v>
      </c>
    </row>
    <row r="8" spans="1:14" x14ac:dyDescent="0.25">
      <c r="A8" s="13" t="s">
        <v>94</v>
      </c>
      <c r="B8" s="11" t="s">
        <v>104</v>
      </c>
      <c r="C8" s="13" t="s">
        <v>119</v>
      </c>
      <c r="D8" s="13" t="s">
        <v>120</v>
      </c>
      <c r="E8" s="13" t="s">
        <v>121</v>
      </c>
      <c r="F8" s="3">
        <f t="shared" si="0"/>
        <v>5.9027777777777735E-2</v>
      </c>
      <c r="G8" s="6">
        <f t="shared" si="1"/>
        <v>85</v>
      </c>
      <c r="H8" s="15" t="s">
        <v>76</v>
      </c>
      <c r="I8" s="14" t="s">
        <v>18</v>
      </c>
      <c r="J8" s="14">
        <v>6</v>
      </c>
      <c r="K8" s="14">
        <v>10</v>
      </c>
      <c r="L8" s="20"/>
      <c r="M8" s="20"/>
      <c r="N8" s="8" t="s">
        <v>74</v>
      </c>
    </row>
    <row r="9" spans="1:14" x14ac:dyDescent="0.25">
      <c r="A9" s="13" t="s">
        <v>95</v>
      </c>
      <c r="B9" s="11" t="s">
        <v>104</v>
      </c>
      <c r="C9" s="13" t="s">
        <v>103</v>
      </c>
      <c r="D9" s="13" t="s">
        <v>102</v>
      </c>
      <c r="E9" s="13" t="s">
        <v>59</v>
      </c>
      <c r="F9" s="3">
        <f t="shared" si="0"/>
        <v>0.24652777777777785</v>
      </c>
      <c r="G9" s="6">
        <f t="shared" si="1"/>
        <v>355</v>
      </c>
      <c r="H9" s="15" t="s">
        <v>122</v>
      </c>
      <c r="I9" s="14" t="s">
        <v>50</v>
      </c>
      <c r="J9" s="14">
        <v>7</v>
      </c>
      <c r="K9" s="14">
        <v>35</v>
      </c>
      <c r="L9" s="20"/>
      <c r="M9" s="20"/>
      <c r="N9" s="8" t="s">
        <v>72</v>
      </c>
    </row>
    <row r="10" spans="1:14" x14ac:dyDescent="0.25">
      <c r="A10" s="13" t="s">
        <v>96</v>
      </c>
      <c r="B10" s="11" t="s">
        <v>104</v>
      </c>
      <c r="C10" s="13" t="s">
        <v>123</v>
      </c>
      <c r="D10" s="13" t="s">
        <v>124</v>
      </c>
      <c r="E10" s="13" t="s">
        <v>125</v>
      </c>
      <c r="F10" s="3">
        <f t="shared" si="0"/>
        <v>0.15972222222222221</v>
      </c>
      <c r="G10" s="6">
        <f t="shared" si="1"/>
        <v>230</v>
      </c>
      <c r="H10" s="15" t="s">
        <v>126</v>
      </c>
      <c r="I10" s="14" t="s">
        <v>15</v>
      </c>
      <c r="J10" s="14">
        <v>8</v>
      </c>
      <c r="K10" s="14">
        <v>23</v>
      </c>
      <c r="L10" s="20"/>
      <c r="M10" s="20"/>
      <c r="N10" s="8" t="s">
        <v>68</v>
      </c>
    </row>
    <row r="11" spans="1:14" x14ac:dyDescent="0.25">
      <c r="A11" s="13" t="s">
        <v>97</v>
      </c>
      <c r="B11" s="11" t="s">
        <v>104</v>
      </c>
      <c r="C11" s="13" t="s">
        <v>75</v>
      </c>
      <c r="D11" s="13" t="s">
        <v>121</v>
      </c>
      <c r="E11" s="13" t="s">
        <v>54</v>
      </c>
      <c r="F11" s="3">
        <f t="shared" si="0"/>
        <v>0.18055555555555558</v>
      </c>
      <c r="G11" s="6">
        <f t="shared" si="1"/>
        <v>260</v>
      </c>
      <c r="H11" s="12" t="s">
        <v>98</v>
      </c>
      <c r="I11" s="14" t="s">
        <v>13</v>
      </c>
      <c r="J11" s="14">
        <v>9</v>
      </c>
      <c r="K11" s="14">
        <v>27</v>
      </c>
      <c r="L11" s="20"/>
      <c r="M11" s="20"/>
      <c r="N11" s="8" t="s">
        <v>69</v>
      </c>
    </row>
    <row r="12" spans="1:14" x14ac:dyDescent="0.25">
      <c r="A12" s="13" t="s">
        <v>77</v>
      </c>
      <c r="B12" s="11" t="s">
        <v>104</v>
      </c>
      <c r="C12" s="13" t="s">
        <v>16</v>
      </c>
      <c r="D12" s="13" t="s">
        <v>127</v>
      </c>
      <c r="E12" s="13" t="s">
        <v>21</v>
      </c>
      <c r="F12" s="3">
        <f t="shared" si="0"/>
        <v>0.20833333333333326</v>
      </c>
      <c r="G12" s="6">
        <f t="shared" si="1"/>
        <v>300</v>
      </c>
      <c r="H12" s="15" t="s">
        <v>128</v>
      </c>
      <c r="I12" s="14" t="s">
        <v>16</v>
      </c>
      <c r="J12" s="14">
        <v>11</v>
      </c>
      <c r="K12" s="14">
        <v>31</v>
      </c>
      <c r="L12" s="20"/>
      <c r="M12" s="20"/>
      <c r="N12" s="8" t="s">
        <v>69</v>
      </c>
    </row>
    <row r="13" spans="1:14" x14ac:dyDescent="0.25">
      <c r="A13" s="13" t="s">
        <v>78</v>
      </c>
      <c r="B13" s="11" t="s">
        <v>104</v>
      </c>
      <c r="C13" s="13" t="s">
        <v>129</v>
      </c>
      <c r="D13" s="13" t="s">
        <v>112</v>
      </c>
      <c r="E13" s="13" t="s">
        <v>35</v>
      </c>
      <c r="F13" s="3">
        <f t="shared" si="0"/>
        <v>0.10416666666666674</v>
      </c>
      <c r="G13" s="6">
        <f t="shared" si="1"/>
        <v>150</v>
      </c>
      <c r="H13" s="15" t="s">
        <v>130</v>
      </c>
      <c r="I13" s="14" t="s">
        <v>13</v>
      </c>
      <c r="J13" s="14">
        <v>12</v>
      </c>
      <c r="K13" s="14">
        <v>22</v>
      </c>
      <c r="L13" s="20"/>
      <c r="M13" s="20"/>
      <c r="N13" s="8" t="s">
        <v>131</v>
      </c>
    </row>
    <row r="14" spans="1:14" x14ac:dyDescent="0.25">
      <c r="A14" s="13" t="s">
        <v>79</v>
      </c>
      <c r="B14" s="11" t="s">
        <v>104</v>
      </c>
      <c r="C14" s="13" t="s">
        <v>132</v>
      </c>
      <c r="D14" s="13" t="s">
        <v>99</v>
      </c>
      <c r="E14" s="13" t="s">
        <v>133</v>
      </c>
      <c r="F14" s="3">
        <f t="shared" si="0"/>
        <v>0.15972222222222221</v>
      </c>
      <c r="G14" s="6">
        <f t="shared" si="1"/>
        <v>230</v>
      </c>
      <c r="H14" s="15" t="s">
        <v>134</v>
      </c>
      <c r="I14" s="14" t="s">
        <v>13</v>
      </c>
      <c r="J14" s="14">
        <v>15</v>
      </c>
      <c r="K14" s="14">
        <v>32</v>
      </c>
      <c r="L14" s="20"/>
      <c r="M14" s="20"/>
      <c r="N14" s="8" t="s">
        <v>68</v>
      </c>
    </row>
    <row r="15" spans="1:14" x14ac:dyDescent="0.25">
      <c r="A15" s="13" t="s">
        <v>80</v>
      </c>
      <c r="B15" s="11" t="s">
        <v>104</v>
      </c>
      <c r="C15" s="13" t="s">
        <v>135</v>
      </c>
      <c r="D15" s="13" t="s">
        <v>136</v>
      </c>
      <c r="E15" s="13" t="s">
        <v>137</v>
      </c>
      <c r="F15" s="3">
        <f t="shared" si="0"/>
        <v>0.10069444444444442</v>
      </c>
      <c r="G15" s="6">
        <f t="shared" si="1"/>
        <v>145</v>
      </c>
      <c r="H15" s="15" t="s">
        <v>138</v>
      </c>
      <c r="I15" s="14" t="s">
        <v>15</v>
      </c>
      <c r="J15" s="14">
        <v>16</v>
      </c>
      <c r="K15" s="14">
        <v>26</v>
      </c>
      <c r="L15" s="20"/>
      <c r="M15" s="20"/>
      <c r="N15" s="8" t="s">
        <v>68</v>
      </c>
    </row>
    <row r="16" spans="1:14" x14ac:dyDescent="0.25">
      <c r="A16" s="13" t="s">
        <v>81</v>
      </c>
      <c r="B16" s="11" t="s">
        <v>104</v>
      </c>
      <c r="C16" s="13" t="s">
        <v>43</v>
      </c>
      <c r="D16" s="13" t="s">
        <v>100</v>
      </c>
      <c r="E16" s="13" t="s">
        <v>61</v>
      </c>
      <c r="F16" s="3">
        <f t="shared" si="0"/>
        <v>0.11805555555555558</v>
      </c>
      <c r="G16" s="6">
        <f t="shared" si="1"/>
        <v>170</v>
      </c>
      <c r="H16" s="15" t="s">
        <v>139</v>
      </c>
      <c r="I16" s="14" t="s">
        <v>15</v>
      </c>
      <c r="J16" s="14">
        <v>17</v>
      </c>
      <c r="K16" s="14">
        <v>30</v>
      </c>
      <c r="L16" s="20"/>
      <c r="M16" s="20"/>
      <c r="N16" s="8" t="s">
        <v>83</v>
      </c>
    </row>
    <row r="17" spans="1:14" x14ac:dyDescent="0.25">
      <c r="A17" s="13" t="s">
        <v>82</v>
      </c>
      <c r="B17" s="11" t="s">
        <v>104</v>
      </c>
      <c r="C17" s="21" t="s">
        <v>140</v>
      </c>
      <c r="D17" s="21" t="s">
        <v>49</v>
      </c>
      <c r="E17" s="21" t="s">
        <v>59</v>
      </c>
      <c r="F17" s="3">
        <f t="shared" si="0"/>
        <v>0.125</v>
      </c>
      <c r="G17" s="6">
        <f t="shared" si="1"/>
        <v>180</v>
      </c>
      <c r="H17" s="12" t="s">
        <v>141</v>
      </c>
      <c r="I17" s="8" t="s">
        <v>73</v>
      </c>
      <c r="J17" s="8">
        <v>18</v>
      </c>
      <c r="K17" s="14">
        <v>34</v>
      </c>
      <c r="L17" s="20"/>
      <c r="M17" s="20"/>
      <c r="N17" s="22" t="s">
        <v>142</v>
      </c>
    </row>
    <row r="18" spans="1:14" x14ac:dyDescent="0.25">
      <c r="A18" s="13" t="s">
        <v>84</v>
      </c>
      <c r="B18" s="11" t="s">
        <v>104</v>
      </c>
      <c r="C18" s="13" t="s">
        <v>143</v>
      </c>
      <c r="D18" s="13" t="s">
        <v>57</v>
      </c>
      <c r="E18" s="13" t="s">
        <v>144</v>
      </c>
      <c r="F18" s="3">
        <f t="shared" si="0"/>
        <v>3.819444444444442E-2</v>
      </c>
      <c r="G18" s="6">
        <f t="shared" si="1"/>
        <v>55</v>
      </c>
      <c r="H18" s="15" t="s">
        <v>145</v>
      </c>
      <c r="I18" s="14" t="s">
        <v>16</v>
      </c>
      <c r="J18" s="14">
        <v>24</v>
      </c>
      <c r="K18" s="14">
        <v>28</v>
      </c>
      <c r="L18" s="20"/>
      <c r="M18" s="20"/>
      <c r="N18" s="8" t="s">
        <v>68</v>
      </c>
    </row>
    <row r="19" spans="1:14" x14ac:dyDescent="0.25">
      <c r="A19" s="13" t="s">
        <v>85</v>
      </c>
      <c r="B19" s="11" t="s">
        <v>104</v>
      </c>
      <c r="C19" s="13" t="s">
        <v>146</v>
      </c>
      <c r="D19" s="13" t="s">
        <v>51</v>
      </c>
      <c r="E19" s="13" t="s">
        <v>133</v>
      </c>
      <c r="F19" s="3">
        <f t="shared" si="0"/>
        <v>5.2083333333333259E-2</v>
      </c>
      <c r="G19" s="6">
        <f t="shared" si="1"/>
        <v>75</v>
      </c>
      <c r="H19" s="15" t="s">
        <v>76</v>
      </c>
      <c r="I19" s="14" t="s">
        <v>17</v>
      </c>
      <c r="J19" s="14">
        <v>25</v>
      </c>
      <c r="K19" s="14">
        <v>33</v>
      </c>
      <c r="L19" s="20"/>
      <c r="M19" s="20"/>
      <c r="N19" s="8" t="s">
        <v>69</v>
      </c>
    </row>
    <row r="20" spans="1:14" x14ac:dyDescent="0.25">
      <c r="A20" s="13" t="s">
        <v>86</v>
      </c>
      <c r="B20" s="11" t="s">
        <v>104</v>
      </c>
      <c r="C20" s="13" t="s">
        <v>87</v>
      </c>
      <c r="D20" s="13" t="s">
        <v>58</v>
      </c>
      <c r="E20" s="13" t="s">
        <v>147</v>
      </c>
      <c r="F20" s="3">
        <f t="shared" si="0"/>
        <v>0.11805555555555558</v>
      </c>
      <c r="G20" s="6">
        <f t="shared" si="1"/>
        <v>170</v>
      </c>
      <c r="H20" s="15" t="s">
        <v>106</v>
      </c>
      <c r="I20" s="14" t="s">
        <v>13</v>
      </c>
      <c r="J20" s="14">
        <v>29</v>
      </c>
      <c r="K20" s="14">
        <v>36</v>
      </c>
      <c r="L20" s="20"/>
      <c r="M20" s="20"/>
      <c r="N20" s="8" t="s">
        <v>69</v>
      </c>
    </row>
  </sheetData>
  <mergeCells count="1">
    <mergeCell ref="A1:N1"/>
  </mergeCells>
  <pageMargins left="0.7" right="0.7" top="0.75" bottom="0.75" header="0.3" footer="0.3"/>
  <pageSetup scale="54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9"/>
  <sheetViews>
    <sheetView workbookViewId="0">
      <selection activeCell="H30" sqref="H30"/>
    </sheetView>
  </sheetViews>
  <sheetFormatPr defaultRowHeight="15" x14ac:dyDescent="0.25"/>
  <cols>
    <col min="1" max="1" width="6" bestFit="1" customWidth="1"/>
    <col min="2" max="2" width="11.7109375" customWidth="1"/>
    <col min="3" max="3" width="15" bestFit="1" customWidth="1"/>
    <col min="4" max="4" width="9.85546875" bestFit="1" customWidth="1"/>
    <col min="5" max="5" width="7.7109375" bestFit="1" customWidth="1"/>
    <col min="6" max="6" width="9" customWidth="1"/>
    <col min="7" max="7" width="9.140625" customWidth="1"/>
    <col min="8" max="8" width="53.5703125" customWidth="1"/>
    <col min="9" max="9" width="8.28515625" bestFit="1" customWidth="1"/>
    <col min="11" max="11" width="10" customWidth="1"/>
    <col min="12" max="12" width="12" customWidth="1"/>
    <col min="13" max="13" width="10.85546875" customWidth="1"/>
  </cols>
  <sheetData>
    <row r="1" spans="1:13" ht="18" x14ac:dyDescent="0.25">
      <c r="A1" s="17" t="s">
        <v>66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</row>
    <row r="2" spans="1:13" ht="38.2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spans="1:13" x14ac:dyDescent="0.25">
      <c r="A3" s="8">
        <v>1</v>
      </c>
      <c r="B3" s="2" t="s">
        <v>30</v>
      </c>
      <c r="C3" s="2" t="s">
        <v>29</v>
      </c>
      <c r="D3" s="2" t="s">
        <v>25</v>
      </c>
      <c r="E3" s="2" t="s">
        <v>35</v>
      </c>
      <c r="F3" s="3">
        <f t="shared" ref="F3:F19" si="0">E3-D3</f>
        <v>0.21874999999999994</v>
      </c>
      <c r="G3" s="6">
        <f t="shared" ref="G3:G19" si="1">HOUR(F3)*60+MINUTE(F3)</f>
        <v>315</v>
      </c>
      <c r="H3" s="7" t="s">
        <v>45</v>
      </c>
      <c r="I3" s="4" t="s">
        <v>19</v>
      </c>
      <c r="J3" s="8">
        <v>10</v>
      </c>
      <c r="K3" s="8">
        <v>55</v>
      </c>
      <c r="L3" s="9">
        <v>0.43194444444444446</v>
      </c>
      <c r="M3" s="9">
        <v>0.63055555555555554</v>
      </c>
    </row>
    <row r="4" spans="1:13" x14ac:dyDescent="0.25">
      <c r="A4" s="8">
        <v>2</v>
      </c>
      <c r="B4" s="2" t="s">
        <v>30</v>
      </c>
      <c r="C4" s="2" t="s">
        <v>36</v>
      </c>
      <c r="D4" s="2" t="s">
        <v>37</v>
      </c>
      <c r="E4" s="2" t="s">
        <v>38</v>
      </c>
      <c r="F4" s="3">
        <f t="shared" si="0"/>
        <v>0.14930555555555564</v>
      </c>
      <c r="G4" s="6">
        <f t="shared" si="1"/>
        <v>215</v>
      </c>
      <c r="H4" s="7" t="s">
        <v>45</v>
      </c>
      <c r="I4" s="4" t="s">
        <v>23</v>
      </c>
      <c r="J4" s="8">
        <v>12</v>
      </c>
      <c r="K4" s="8">
        <v>38</v>
      </c>
      <c r="L4" s="9">
        <v>0.43055555555555558</v>
      </c>
      <c r="M4" s="9">
        <v>0.57361111111111118</v>
      </c>
    </row>
    <row r="5" spans="1:13" x14ac:dyDescent="0.25">
      <c r="A5" s="8">
        <v>3</v>
      </c>
      <c r="B5" s="2" t="s">
        <v>30</v>
      </c>
      <c r="C5" s="2" t="s">
        <v>18</v>
      </c>
      <c r="D5" s="2" t="s">
        <v>39</v>
      </c>
      <c r="E5" s="2" t="s">
        <v>22</v>
      </c>
      <c r="F5" s="3">
        <f t="shared" si="0"/>
        <v>0.18402777777777779</v>
      </c>
      <c r="G5" s="6">
        <f t="shared" si="1"/>
        <v>265</v>
      </c>
      <c r="H5" s="7" t="s">
        <v>45</v>
      </c>
      <c r="I5" s="4" t="s">
        <v>18</v>
      </c>
      <c r="J5" s="8">
        <v>13</v>
      </c>
      <c r="K5" s="8">
        <v>46</v>
      </c>
      <c r="L5" s="9">
        <v>0.43333333333333335</v>
      </c>
      <c r="M5" s="9">
        <v>0.61111111111111105</v>
      </c>
    </row>
    <row r="6" spans="1:13" x14ac:dyDescent="0.25">
      <c r="A6" s="8">
        <v>4</v>
      </c>
      <c r="B6" s="2" t="s">
        <v>30</v>
      </c>
      <c r="C6" s="2" t="s">
        <v>40</v>
      </c>
      <c r="D6" s="2" t="s">
        <v>41</v>
      </c>
      <c r="E6" s="2" t="s">
        <v>34</v>
      </c>
      <c r="F6" s="3">
        <f t="shared" si="0"/>
        <v>8.6805555555555525E-2</v>
      </c>
      <c r="G6" s="6">
        <f t="shared" si="1"/>
        <v>125</v>
      </c>
      <c r="H6" s="7" t="s">
        <v>45</v>
      </c>
      <c r="I6" s="4" t="s">
        <v>19</v>
      </c>
      <c r="J6" s="8">
        <v>16</v>
      </c>
      <c r="K6" s="8">
        <v>28</v>
      </c>
      <c r="L6" s="9">
        <v>0.44930555555555557</v>
      </c>
      <c r="M6" s="9">
        <v>0.53194444444444444</v>
      </c>
    </row>
    <row r="7" spans="1:13" x14ac:dyDescent="0.25">
      <c r="A7" s="8">
        <v>5</v>
      </c>
      <c r="B7" s="2" t="s">
        <v>30</v>
      </c>
      <c r="C7" s="2" t="s">
        <v>42</v>
      </c>
      <c r="D7" s="2" t="s">
        <v>41</v>
      </c>
      <c r="E7" s="2" t="s">
        <v>38</v>
      </c>
      <c r="F7" s="3">
        <f t="shared" si="0"/>
        <v>0.12847222222222227</v>
      </c>
      <c r="G7" s="6">
        <f t="shared" si="1"/>
        <v>185</v>
      </c>
      <c r="H7" s="7" t="s">
        <v>45</v>
      </c>
      <c r="I7" s="4" t="s">
        <v>19</v>
      </c>
      <c r="J7" s="8">
        <v>17</v>
      </c>
      <c r="K7" s="8">
        <v>39</v>
      </c>
      <c r="L7" s="9">
        <v>0.44930555555555557</v>
      </c>
      <c r="M7" s="9">
        <v>0.52638888888888891</v>
      </c>
    </row>
    <row r="8" spans="1:13" x14ac:dyDescent="0.25">
      <c r="A8" s="8">
        <v>6</v>
      </c>
      <c r="B8" s="2" t="s">
        <v>30</v>
      </c>
      <c r="C8" s="2" t="s">
        <v>43</v>
      </c>
      <c r="D8" s="2" t="s">
        <v>20</v>
      </c>
      <c r="E8" s="2" t="s">
        <v>44</v>
      </c>
      <c r="F8" s="3">
        <f t="shared" si="0"/>
        <v>5.5555555555555525E-2</v>
      </c>
      <c r="G8" s="6">
        <f t="shared" si="1"/>
        <v>80</v>
      </c>
      <c r="H8" s="7" t="s">
        <v>45</v>
      </c>
      <c r="I8" s="4" t="s">
        <v>15</v>
      </c>
      <c r="J8" s="8">
        <v>21</v>
      </c>
      <c r="K8" s="8">
        <v>30</v>
      </c>
      <c r="L8" s="9">
        <v>0.48680555555555555</v>
      </c>
      <c r="M8" s="9">
        <v>0.52847222222222223</v>
      </c>
    </row>
    <row r="9" spans="1:13" x14ac:dyDescent="0.25">
      <c r="A9" s="8">
        <v>7</v>
      </c>
      <c r="B9" s="2" t="s">
        <v>30</v>
      </c>
      <c r="C9" s="2" t="s">
        <v>46</v>
      </c>
      <c r="D9" s="2" t="s">
        <v>28</v>
      </c>
      <c r="E9" s="2" t="s">
        <v>47</v>
      </c>
      <c r="F9" s="3">
        <f t="shared" si="0"/>
        <v>9.722222222222221E-2</v>
      </c>
      <c r="G9" s="6">
        <f t="shared" si="1"/>
        <v>140</v>
      </c>
      <c r="H9" s="7" t="s">
        <v>45</v>
      </c>
      <c r="I9" s="4" t="s">
        <v>27</v>
      </c>
      <c r="J9" s="8">
        <v>37</v>
      </c>
      <c r="K9" s="8">
        <v>60</v>
      </c>
      <c r="L9" s="9">
        <v>0.56874999999999998</v>
      </c>
      <c r="M9" s="9">
        <v>0.66111111111111109</v>
      </c>
    </row>
    <row r="10" spans="1:13" x14ac:dyDescent="0.25">
      <c r="A10" s="8">
        <v>8</v>
      </c>
      <c r="B10" s="2" t="s">
        <v>30</v>
      </c>
      <c r="C10" s="2" t="s">
        <v>48</v>
      </c>
      <c r="D10" s="2" t="s">
        <v>49</v>
      </c>
      <c r="E10" s="2" t="s">
        <v>21</v>
      </c>
      <c r="F10" s="3">
        <f t="shared" si="0"/>
        <v>0.11805555555555558</v>
      </c>
      <c r="G10" s="6">
        <f t="shared" si="1"/>
        <v>170</v>
      </c>
      <c r="H10" s="7" t="s">
        <v>45</v>
      </c>
      <c r="I10" s="4" t="s">
        <v>50</v>
      </c>
      <c r="J10" s="8">
        <v>42</v>
      </c>
      <c r="K10" s="8">
        <v>79</v>
      </c>
      <c r="L10" s="9">
        <v>0.61805555555555558</v>
      </c>
      <c r="M10" s="9">
        <v>0.72777777777777775</v>
      </c>
    </row>
    <row r="11" spans="1:13" x14ac:dyDescent="0.25">
      <c r="A11" s="8">
        <v>9</v>
      </c>
      <c r="B11" s="2" t="s">
        <v>30</v>
      </c>
      <c r="C11" s="2" t="s">
        <v>16</v>
      </c>
      <c r="D11" s="2" t="s">
        <v>49</v>
      </c>
      <c r="E11" s="2" t="s">
        <v>33</v>
      </c>
      <c r="F11" s="3">
        <f t="shared" si="0"/>
        <v>2.430555555555558E-2</v>
      </c>
      <c r="G11" s="6">
        <f t="shared" si="1"/>
        <v>35</v>
      </c>
      <c r="H11" s="7" t="s">
        <v>45</v>
      </c>
      <c r="I11" s="4" t="s">
        <v>16</v>
      </c>
      <c r="J11" s="8">
        <v>43</v>
      </c>
      <c r="K11" s="8">
        <v>53</v>
      </c>
      <c r="L11" s="9">
        <v>0.61458333333333337</v>
      </c>
      <c r="M11" s="9">
        <v>0.63263888888888886</v>
      </c>
    </row>
    <row r="12" spans="1:13" x14ac:dyDescent="0.25">
      <c r="A12" s="8">
        <v>10</v>
      </c>
      <c r="B12" s="2" t="s">
        <v>30</v>
      </c>
      <c r="C12" s="2" t="s">
        <v>24</v>
      </c>
      <c r="D12" s="2" t="s">
        <v>49</v>
      </c>
      <c r="E12" s="2" t="s">
        <v>51</v>
      </c>
      <c r="F12" s="3">
        <f t="shared" si="0"/>
        <v>6.944444444444442E-2</v>
      </c>
      <c r="G12" s="6">
        <f t="shared" si="1"/>
        <v>100</v>
      </c>
      <c r="H12" s="7" t="s">
        <v>45</v>
      </c>
      <c r="I12" s="4" t="s">
        <v>17</v>
      </c>
      <c r="J12" s="8">
        <v>44</v>
      </c>
      <c r="K12" s="8">
        <v>67</v>
      </c>
      <c r="L12" s="9">
        <v>0.61527777777777781</v>
      </c>
      <c r="M12" s="9">
        <v>0.6743055555555556</v>
      </c>
    </row>
    <row r="13" spans="1:13" x14ac:dyDescent="0.25">
      <c r="A13" s="8">
        <v>11</v>
      </c>
      <c r="B13" s="2" t="s">
        <v>30</v>
      </c>
      <c r="C13" s="2" t="s">
        <v>14</v>
      </c>
      <c r="D13" s="2" t="s">
        <v>22</v>
      </c>
      <c r="E13" s="2" t="s">
        <v>52</v>
      </c>
      <c r="F13" s="3">
        <f t="shared" si="0"/>
        <v>0.11111111111111116</v>
      </c>
      <c r="G13" s="6">
        <f t="shared" si="1"/>
        <v>160</v>
      </c>
      <c r="H13" s="7" t="s">
        <v>45</v>
      </c>
      <c r="I13" s="4" t="s">
        <v>14</v>
      </c>
      <c r="J13" s="8">
        <v>45</v>
      </c>
      <c r="K13" s="8">
        <v>78</v>
      </c>
      <c r="L13" s="9">
        <v>0.61805555555555558</v>
      </c>
      <c r="M13" s="9">
        <v>0.72361111111111109</v>
      </c>
    </row>
    <row r="14" spans="1:13" x14ac:dyDescent="0.25">
      <c r="A14" s="8">
        <v>12</v>
      </c>
      <c r="B14" s="2" t="s">
        <v>30</v>
      </c>
      <c r="C14" s="2" t="s">
        <v>53</v>
      </c>
      <c r="D14" s="2" t="s">
        <v>31</v>
      </c>
      <c r="E14" s="2" t="s">
        <v>54</v>
      </c>
      <c r="F14" s="3">
        <f t="shared" si="0"/>
        <v>6.25E-2</v>
      </c>
      <c r="G14" s="6">
        <f t="shared" si="1"/>
        <v>90</v>
      </c>
      <c r="H14" s="7" t="s">
        <v>45</v>
      </c>
      <c r="I14" s="4" t="s">
        <v>18</v>
      </c>
      <c r="J14" s="8">
        <v>48</v>
      </c>
      <c r="K14" s="8">
        <v>69</v>
      </c>
      <c r="L14" s="9">
        <v>0.63124999999999998</v>
      </c>
      <c r="M14" s="9">
        <v>0.68958333333333333</v>
      </c>
    </row>
    <row r="15" spans="1:13" x14ac:dyDescent="0.25">
      <c r="A15" s="8">
        <v>13</v>
      </c>
      <c r="B15" s="2" t="s">
        <v>30</v>
      </c>
      <c r="C15" s="2" t="s">
        <v>56</v>
      </c>
      <c r="D15" s="2" t="s">
        <v>57</v>
      </c>
      <c r="E15" s="2" t="s">
        <v>58</v>
      </c>
      <c r="F15" s="3">
        <f t="shared" si="0"/>
        <v>4.513888888888884E-2</v>
      </c>
      <c r="G15" s="6">
        <f t="shared" si="1"/>
        <v>65</v>
      </c>
      <c r="H15" s="7" t="s">
        <v>45</v>
      </c>
      <c r="I15" s="4" t="s">
        <v>17</v>
      </c>
      <c r="J15" s="8">
        <v>59</v>
      </c>
      <c r="K15" s="8">
        <v>71</v>
      </c>
      <c r="L15" s="9">
        <v>0.65902777777777777</v>
      </c>
      <c r="M15" s="9">
        <v>0.69791666666666663</v>
      </c>
    </row>
    <row r="16" spans="1:13" x14ac:dyDescent="0.25">
      <c r="A16" s="8">
        <v>14</v>
      </c>
      <c r="B16" s="2" t="s">
        <v>30</v>
      </c>
      <c r="C16" s="2" t="s">
        <v>26</v>
      </c>
      <c r="D16" s="2" t="s">
        <v>55</v>
      </c>
      <c r="E16" s="2" t="s">
        <v>59</v>
      </c>
      <c r="F16" s="3">
        <f t="shared" si="0"/>
        <v>6.25E-2</v>
      </c>
      <c r="G16" s="6">
        <f t="shared" si="1"/>
        <v>90</v>
      </c>
      <c r="H16" s="7" t="s">
        <v>45</v>
      </c>
      <c r="I16" s="4" t="s">
        <v>16</v>
      </c>
      <c r="J16" s="8">
        <v>63</v>
      </c>
      <c r="K16" s="8">
        <v>80</v>
      </c>
      <c r="L16" s="9">
        <v>0.67499999999999993</v>
      </c>
      <c r="M16" s="9">
        <v>0.7270833333333333</v>
      </c>
    </row>
    <row r="17" spans="1:13" x14ac:dyDescent="0.25">
      <c r="A17" s="8">
        <v>15</v>
      </c>
      <c r="B17" s="2" t="s">
        <v>30</v>
      </c>
      <c r="C17" s="2" t="s">
        <v>60</v>
      </c>
      <c r="D17" s="2" t="s">
        <v>54</v>
      </c>
      <c r="E17" s="2" t="s">
        <v>61</v>
      </c>
      <c r="F17" s="3">
        <f t="shared" si="0"/>
        <v>2.0833333333333259E-2</v>
      </c>
      <c r="G17" s="6">
        <f t="shared" si="1"/>
        <v>30</v>
      </c>
      <c r="H17" s="7" t="s">
        <v>45</v>
      </c>
      <c r="I17" s="4" t="s">
        <v>19</v>
      </c>
      <c r="J17" s="8">
        <v>70</v>
      </c>
      <c r="K17" s="8">
        <v>73</v>
      </c>
      <c r="L17" s="9">
        <v>0.69374999999999998</v>
      </c>
      <c r="M17" s="9">
        <v>0.70972222222222225</v>
      </c>
    </row>
    <row r="18" spans="1:13" x14ac:dyDescent="0.25">
      <c r="A18" s="8">
        <v>16</v>
      </c>
      <c r="B18" s="2" t="s">
        <v>30</v>
      </c>
      <c r="C18" s="2" t="s">
        <v>62</v>
      </c>
      <c r="D18" s="2" t="s">
        <v>63</v>
      </c>
      <c r="E18" s="2" t="s">
        <v>64</v>
      </c>
      <c r="F18" s="3">
        <f t="shared" si="0"/>
        <v>2.083333333333337E-2</v>
      </c>
      <c r="G18" s="6">
        <f t="shared" si="1"/>
        <v>30</v>
      </c>
      <c r="H18" s="7" t="s">
        <v>45</v>
      </c>
      <c r="I18" s="4" t="s">
        <v>13</v>
      </c>
      <c r="J18" s="8">
        <v>75</v>
      </c>
      <c r="K18" s="8">
        <v>81</v>
      </c>
      <c r="L18" s="9">
        <v>0.71944444444444444</v>
      </c>
      <c r="M18" s="9">
        <v>0.73611111111111116</v>
      </c>
    </row>
    <row r="19" spans="1:13" x14ac:dyDescent="0.25">
      <c r="A19" s="8">
        <v>17</v>
      </c>
      <c r="B19" s="2" t="s">
        <v>30</v>
      </c>
      <c r="C19" s="2" t="s">
        <v>32</v>
      </c>
      <c r="D19" s="2" t="s">
        <v>52</v>
      </c>
      <c r="E19" s="2" t="s">
        <v>65</v>
      </c>
      <c r="F19" s="3">
        <f t="shared" si="0"/>
        <v>4.8611111111110938E-2</v>
      </c>
      <c r="G19" s="6">
        <f t="shared" si="1"/>
        <v>70</v>
      </c>
      <c r="H19" s="7" t="s">
        <v>45</v>
      </c>
      <c r="I19" s="4" t="s">
        <v>16</v>
      </c>
      <c r="J19" s="8">
        <v>77</v>
      </c>
      <c r="K19" s="8">
        <v>85</v>
      </c>
      <c r="L19" s="9">
        <v>0.72777777777777775</v>
      </c>
      <c r="M19" s="9">
        <v>0.77013888888888893</v>
      </c>
    </row>
  </sheetData>
  <autoFilter ref="A2:M19" xr:uid="{00000000-0009-0000-0000-000001000000}"/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>
      <selection activeCell="A2" sqref="A2:XFD4"/>
    </sheetView>
  </sheetViews>
  <sheetFormatPr defaultRowHeight="15" x14ac:dyDescent="0.25"/>
  <cols>
    <col min="11" max="11" width="28.140625" customWidth="1"/>
  </cols>
  <sheetData/>
  <pageMargins left="0.7" right="0.7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DL707T2</dc:creator>
  <cp:lastModifiedBy>SI CTO</cp:lastModifiedBy>
  <cp:lastPrinted>2025-09-04T15:24:18Z</cp:lastPrinted>
  <dcterms:created xsi:type="dcterms:W3CDTF">2024-01-06T10:48:27Z</dcterms:created>
  <dcterms:modified xsi:type="dcterms:W3CDTF">2025-12-14T14:28:39Z</dcterms:modified>
</cp:coreProperties>
</file>